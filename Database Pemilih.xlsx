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10380" windowHeight="4815"/>
  </bookViews>
  <sheets>
    <sheet name="data pemilih fix" sheetId="5" r:id="rId1"/>
    <sheet name="rekap data pemilih fix" sheetId="6" r:id="rId2"/>
    <sheet name="rekap surat suara fix" sheetId="7" r:id="rId3"/>
    <sheet name="rekap perolehan suara fix" sheetId="8" r:id="rId4"/>
  </sheets>
  <calcPr calcId="144525"/>
</workbook>
</file>

<file path=xl/calcChain.xml><?xml version="1.0" encoding="utf-8"?>
<calcChain xmlns="http://schemas.openxmlformats.org/spreadsheetml/2006/main">
  <c r="C6" i="8" l="1"/>
  <c r="C5" i="8"/>
  <c r="C4" i="8"/>
  <c r="C12" i="8" s="1"/>
  <c r="C14" i="8" s="1"/>
  <c r="C5" i="7"/>
  <c r="C4" i="7"/>
  <c r="C6" i="6"/>
  <c r="C5" i="6"/>
  <c r="C4" i="6"/>
  <c r="C7" i="6" s="1"/>
  <c r="C7" i="7" l="1"/>
</calcChain>
</file>

<file path=xl/sharedStrings.xml><?xml version="1.0" encoding="utf-8"?>
<sst xmlns="http://schemas.openxmlformats.org/spreadsheetml/2006/main" count="133" uniqueCount="66">
  <si>
    <t>NIK</t>
  </si>
  <si>
    <t>Nama Pemilih</t>
  </si>
  <si>
    <t>Pilihan Calon</t>
  </si>
  <si>
    <t>3374010101010001</t>
  </si>
  <si>
    <t>Andi Saputra</t>
  </si>
  <si>
    <t>Ahmad Prasetyo</t>
  </si>
  <si>
    <t>Siti Aminah</t>
  </si>
  <si>
    <t>Slamet Riyadi</t>
  </si>
  <si>
    <t>3374010101010002</t>
  </si>
  <si>
    <t>Budi Santoso</t>
  </si>
  <si>
    <t>Agus Setiawan</t>
  </si>
  <si>
    <t>Rina Marlina</t>
  </si>
  <si>
    <t>3374010101010003</t>
  </si>
  <si>
    <t>Dedi Kurniawan</t>
  </si>
  <si>
    <t>Ayu Lestari</t>
  </si>
  <si>
    <t>3374010101010004</t>
  </si>
  <si>
    <t>Hendra Wijaya</t>
  </si>
  <si>
    <t>Sri Wahyuni</t>
  </si>
  <si>
    <t>3374010101010005</t>
  </si>
  <si>
    <t>Rudi Hartono</t>
  </si>
  <si>
    <t>Lina Oktaviani</t>
  </si>
  <si>
    <t>3374010101010006</t>
  </si>
  <si>
    <t>Fajar Nugroho</t>
  </si>
  <si>
    <t>Nina Permata</t>
  </si>
  <si>
    <t>3374010101010007</t>
  </si>
  <si>
    <t>Agus Priyanto</t>
  </si>
  <si>
    <t>Sulastri</t>
  </si>
  <si>
    <t>3374010101010008</t>
  </si>
  <si>
    <t>Yusuf Maulana</t>
  </si>
  <si>
    <t>Maya Sari</t>
  </si>
  <si>
    <t>3374010101010009</t>
  </si>
  <si>
    <t>Tono Prabowo</t>
  </si>
  <si>
    <t>Kartini</t>
  </si>
  <si>
    <t>3374010101010010</t>
  </si>
  <si>
    <t>Bayu Sapto</t>
  </si>
  <si>
    <t>Dewi Anggraini</t>
  </si>
  <si>
    <t>Keterangan</t>
  </si>
  <si>
    <t>Jumlah</t>
  </si>
  <si>
    <t>Nama Calon</t>
  </si>
  <si>
    <t>Perolehan Suara</t>
  </si>
  <si>
    <t>No</t>
  </si>
  <si>
    <t>NO KK</t>
  </si>
  <si>
    <t>Status Pemilih</t>
  </si>
  <si>
    <t>Aktif</t>
  </si>
  <si>
    <t>Tidak Aktif</t>
  </si>
  <si>
    <t>Hadir</t>
  </si>
  <si>
    <t>Pindah Domisili</t>
  </si>
  <si>
    <t>Tidak Hadir</t>
  </si>
  <si>
    <t>Sakit</t>
  </si>
  <si>
    <t>Uraian</t>
  </si>
  <si>
    <t>Jumlah pemilih terdaftar</t>
  </si>
  <si>
    <t>Jumlah pemilih aktif</t>
  </si>
  <si>
    <t>Jumlah pemilih tidak aktif</t>
  </si>
  <si>
    <t>Uraian Surat Suara</t>
  </si>
  <si>
    <t>Surat suara dibuat</t>
  </si>
  <si>
    <t>Surat suara terpakai</t>
  </si>
  <si>
    <t>Surat suara rusak atau tidak sah</t>
  </si>
  <si>
    <t>Surat suara tidak terpakai</t>
  </si>
  <si>
    <t>Jumlah suara sah</t>
  </si>
  <si>
    <t>Jumlah suara tidak sah</t>
  </si>
  <si>
    <t>Total suara</t>
  </si>
  <si>
    <t>Total Pemilih</t>
  </si>
  <si>
    <t>REKAPITULASI DATA PEMILIH</t>
  </si>
  <si>
    <t>REKAPITULASI SURAT SUARA</t>
  </si>
  <si>
    <t>Perolehan Suara Calon Ketua RT</t>
  </si>
  <si>
    <t>Rekapitulasi Suara Sah dan Tidak 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</si>
</sst>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1" fontId="2" fillId="0" borderId="1" xfId="0" applyNumberFormat="1" applyFont="1" applyFill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C1" workbookViewId="0">
      <selection sqref="A1:G21"/>
    </sheetView>
  </sheetViews>
  <sheetFormatPr defaultRowHeight="15.75" x14ac:dyDescent="0.25"/>
  <cols>
    <col min="1" max="1" width="3.375" style="2" bestFit="1" customWidth="1"/>
    <col min="2" max="2" width="17.125" style="1" bestFit="1" customWidth="1"/>
    <col min="3" max="3" width="16" style="1" bestFit="1" customWidth="1"/>
    <col min="4" max="4" width="13.375" style="1" bestFit="1" customWidth="1"/>
    <col min="5" max="5" width="11.375" style="1" bestFit="1" customWidth="1"/>
    <col min="6" max="6" width="13.625" style="1" bestFit="1" customWidth="1"/>
    <col min="7" max="7" width="12.5" style="1" bestFit="1" customWidth="1"/>
    <col min="8" max="16384" width="9" style="1"/>
  </cols>
  <sheetData>
    <row r="1" spans="1:7" x14ac:dyDescent="0.25">
      <c r="A1" s="4" t="s">
        <v>40</v>
      </c>
      <c r="B1" s="9" t="s">
        <v>41</v>
      </c>
      <c r="C1" s="9" t="s">
        <v>0</v>
      </c>
      <c r="D1" s="9" t="s">
        <v>1</v>
      </c>
      <c r="E1" s="9" t="s">
        <v>42</v>
      </c>
      <c r="F1" s="3" t="s">
        <v>2</v>
      </c>
      <c r="G1" s="9" t="s">
        <v>36</v>
      </c>
    </row>
    <row r="2" spans="1:7" x14ac:dyDescent="0.25">
      <c r="A2" s="10">
        <v>1</v>
      </c>
      <c r="B2" s="5" t="s">
        <v>3</v>
      </c>
      <c r="C2" s="6">
        <v>123456010156001</v>
      </c>
      <c r="D2" s="7" t="s">
        <v>4</v>
      </c>
      <c r="E2" s="7" t="s">
        <v>43</v>
      </c>
      <c r="F2" s="7" t="s">
        <v>5</v>
      </c>
      <c r="G2" s="7" t="s">
        <v>45</v>
      </c>
    </row>
    <row r="3" spans="1:7" x14ac:dyDescent="0.25">
      <c r="A3" s="10">
        <v>2</v>
      </c>
      <c r="B3" s="5" t="s">
        <v>3</v>
      </c>
      <c r="C3" s="6">
        <v>123456010156002</v>
      </c>
      <c r="D3" s="7" t="s">
        <v>6</v>
      </c>
      <c r="E3" s="7" t="s">
        <v>43</v>
      </c>
      <c r="F3" s="7" t="s">
        <v>7</v>
      </c>
      <c r="G3" s="7" t="s">
        <v>45</v>
      </c>
    </row>
    <row r="4" spans="1:7" x14ac:dyDescent="0.25">
      <c r="A4" s="10">
        <v>3</v>
      </c>
      <c r="B4" s="5" t="s">
        <v>8</v>
      </c>
      <c r="C4" s="6">
        <v>123456010156003</v>
      </c>
      <c r="D4" s="7" t="s">
        <v>9</v>
      </c>
      <c r="E4" s="7" t="s">
        <v>43</v>
      </c>
      <c r="F4" s="7" t="s">
        <v>10</v>
      </c>
      <c r="G4" s="7" t="s">
        <v>45</v>
      </c>
    </row>
    <row r="5" spans="1:7" x14ac:dyDescent="0.25">
      <c r="A5" s="10">
        <v>4</v>
      </c>
      <c r="B5" s="5" t="s">
        <v>8</v>
      </c>
      <c r="C5" s="6">
        <v>123456010156004</v>
      </c>
      <c r="D5" s="7" t="s">
        <v>11</v>
      </c>
      <c r="E5" s="7" t="s">
        <v>44</v>
      </c>
      <c r="F5" s="7"/>
      <c r="G5" s="7" t="s">
        <v>46</v>
      </c>
    </row>
    <row r="6" spans="1:7" x14ac:dyDescent="0.25">
      <c r="A6" s="10">
        <v>5</v>
      </c>
      <c r="B6" s="5" t="s">
        <v>12</v>
      </c>
      <c r="C6" s="6">
        <v>123456010156005</v>
      </c>
      <c r="D6" s="7" t="s">
        <v>13</v>
      </c>
      <c r="E6" s="7" t="s">
        <v>43</v>
      </c>
      <c r="F6" s="7" t="s">
        <v>5</v>
      </c>
      <c r="G6" s="7" t="s">
        <v>45</v>
      </c>
    </row>
    <row r="7" spans="1:7" x14ac:dyDescent="0.25">
      <c r="A7" s="10">
        <v>6</v>
      </c>
      <c r="B7" s="5" t="s">
        <v>12</v>
      </c>
      <c r="C7" s="6">
        <v>123456010156006</v>
      </c>
      <c r="D7" s="7" t="s">
        <v>14</v>
      </c>
      <c r="E7" s="7" t="s">
        <v>43</v>
      </c>
      <c r="F7" s="7" t="s">
        <v>7</v>
      </c>
      <c r="G7" s="7" t="s">
        <v>45</v>
      </c>
    </row>
    <row r="8" spans="1:7" x14ac:dyDescent="0.25">
      <c r="A8" s="10">
        <v>7</v>
      </c>
      <c r="B8" s="5" t="s">
        <v>15</v>
      </c>
      <c r="C8" s="6">
        <v>123456010156007</v>
      </c>
      <c r="D8" s="7" t="s">
        <v>16</v>
      </c>
      <c r="E8" s="7" t="s">
        <v>43</v>
      </c>
      <c r="F8" s="7" t="s">
        <v>5</v>
      </c>
      <c r="G8" s="7" t="s">
        <v>45</v>
      </c>
    </row>
    <row r="9" spans="1:7" x14ac:dyDescent="0.25">
      <c r="A9" s="10">
        <v>8</v>
      </c>
      <c r="B9" s="5" t="s">
        <v>15</v>
      </c>
      <c r="C9" s="6">
        <v>123456010156008</v>
      </c>
      <c r="D9" s="7" t="s">
        <v>17</v>
      </c>
      <c r="E9" s="7" t="s">
        <v>43</v>
      </c>
      <c r="F9" s="7" t="s">
        <v>10</v>
      </c>
      <c r="G9" s="7" t="s">
        <v>45</v>
      </c>
    </row>
    <row r="10" spans="1:7" x14ac:dyDescent="0.25">
      <c r="A10" s="10">
        <v>9</v>
      </c>
      <c r="B10" s="5" t="s">
        <v>18</v>
      </c>
      <c r="C10" s="6">
        <v>123456010156009</v>
      </c>
      <c r="D10" s="7" t="s">
        <v>19</v>
      </c>
      <c r="E10" s="7" t="s">
        <v>44</v>
      </c>
      <c r="F10" s="7"/>
      <c r="G10" s="7" t="s">
        <v>47</v>
      </c>
    </row>
    <row r="11" spans="1:7" x14ac:dyDescent="0.25">
      <c r="A11" s="10">
        <v>10</v>
      </c>
      <c r="B11" s="5" t="s">
        <v>18</v>
      </c>
      <c r="C11" s="6">
        <v>123456010156010</v>
      </c>
      <c r="D11" s="7" t="s">
        <v>20</v>
      </c>
      <c r="E11" s="7" t="s">
        <v>43</v>
      </c>
      <c r="F11" s="7" t="s">
        <v>7</v>
      </c>
      <c r="G11" s="7" t="s">
        <v>45</v>
      </c>
    </row>
    <row r="12" spans="1:7" x14ac:dyDescent="0.25">
      <c r="A12" s="10">
        <v>11</v>
      </c>
      <c r="B12" s="5" t="s">
        <v>21</v>
      </c>
      <c r="C12" s="6">
        <v>123456010156011</v>
      </c>
      <c r="D12" s="7" t="s">
        <v>22</v>
      </c>
      <c r="E12" s="7" t="s">
        <v>43</v>
      </c>
      <c r="F12" s="7" t="s">
        <v>10</v>
      </c>
      <c r="G12" s="7" t="s">
        <v>45</v>
      </c>
    </row>
    <row r="13" spans="1:7" x14ac:dyDescent="0.25">
      <c r="A13" s="10">
        <v>12</v>
      </c>
      <c r="B13" s="5" t="s">
        <v>21</v>
      </c>
      <c r="C13" s="6">
        <v>123456010156012</v>
      </c>
      <c r="D13" s="7" t="s">
        <v>23</v>
      </c>
      <c r="E13" s="7" t="s">
        <v>44</v>
      </c>
      <c r="F13" s="7"/>
      <c r="G13" s="7" t="s">
        <v>47</v>
      </c>
    </row>
    <row r="14" spans="1:7" x14ac:dyDescent="0.25">
      <c r="A14" s="10">
        <v>13</v>
      </c>
      <c r="B14" s="5" t="s">
        <v>24</v>
      </c>
      <c r="C14" s="6">
        <v>123456010156013</v>
      </c>
      <c r="D14" s="7" t="s">
        <v>25</v>
      </c>
      <c r="E14" s="7" t="s">
        <v>43</v>
      </c>
      <c r="F14" s="7" t="s">
        <v>5</v>
      </c>
      <c r="G14" s="7" t="s">
        <v>45</v>
      </c>
    </row>
    <row r="15" spans="1:7" x14ac:dyDescent="0.25">
      <c r="A15" s="10">
        <v>14</v>
      </c>
      <c r="B15" s="5" t="s">
        <v>24</v>
      </c>
      <c r="C15" s="6">
        <v>123456010156014</v>
      </c>
      <c r="D15" s="7" t="s">
        <v>26</v>
      </c>
      <c r="E15" s="7" t="s">
        <v>43</v>
      </c>
      <c r="F15" s="7" t="s">
        <v>7</v>
      </c>
      <c r="G15" s="7" t="s">
        <v>45</v>
      </c>
    </row>
    <row r="16" spans="1:7" x14ac:dyDescent="0.25">
      <c r="A16" s="10">
        <v>15</v>
      </c>
      <c r="B16" s="5" t="s">
        <v>27</v>
      </c>
      <c r="C16" s="6">
        <v>123456010156015</v>
      </c>
      <c r="D16" s="7" t="s">
        <v>28</v>
      </c>
      <c r="E16" s="7" t="s">
        <v>43</v>
      </c>
      <c r="F16" s="7" t="s">
        <v>5</v>
      </c>
      <c r="G16" s="7" t="s">
        <v>45</v>
      </c>
    </row>
    <row r="17" spans="1:7" x14ac:dyDescent="0.25">
      <c r="A17" s="10">
        <v>16</v>
      </c>
      <c r="B17" s="5" t="s">
        <v>27</v>
      </c>
      <c r="C17" s="6">
        <v>123456010156016</v>
      </c>
      <c r="D17" s="7" t="s">
        <v>29</v>
      </c>
      <c r="E17" s="7" t="s">
        <v>43</v>
      </c>
      <c r="F17" s="7" t="s">
        <v>10</v>
      </c>
      <c r="G17" s="7" t="s">
        <v>45</v>
      </c>
    </row>
    <row r="18" spans="1:7" x14ac:dyDescent="0.25">
      <c r="A18" s="10">
        <v>17</v>
      </c>
      <c r="B18" s="5" t="s">
        <v>30</v>
      </c>
      <c r="C18" s="6">
        <v>123456010156017</v>
      </c>
      <c r="D18" s="7" t="s">
        <v>31</v>
      </c>
      <c r="E18" s="7" t="s">
        <v>44</v>
      </c>
      <c r="F18" s="7"/>
      <c r="G18" s="7" t="s">
        <v>48</v>
      </c>
    </row>
    <row r="19" spans="1:7" x14ac:dyDescent="0.25">
      <c r="A19" s="10">
        <v>18</v>
      </c>
      <c r="B19" s="5" t="s">
        <v>30</v>
      </c>
      <c r="C19" s="6">
        <v>123456010156018</v>
      </c>
      <c r="D19" s="7" t="s">
        <v>32</v>
      </c>
      <c r="E19" s="7" t="s">
        <v>43</v>
      </c>
      <c r="F19" s="7" t="s">
        <v>7</v>
      </c>
      <c r="G19" s="7" t="s">
        <v>45</v>
      </c>
    </row>
    <row r="20" spans="1:7" x14ac:dyDescent="0.25">
      <c r="A20" s="10">
        <v>19</v>
      </c>
      <c r="B20" s="5" t="s">
        <v>33</v>
      </c>
      <c r="C20" s="6">
        <v>123456010156019</v>
      </c>
      <c r="D20" s="7" t="s">
        <v>34</v>
      </c>
      <c r="E20" s="7" t="s">
        <v>43</v>
      </c>
      <c r="F20" s="7" t="s">
        <v>5</v>
      </c>
      <c r="G20" s="7" t="s">
        <v>45</v>
      </c>
    </row>
    <row r="21" spans="1:7" x14ac:dyDescent="0.25">
      <c r="A21" s="10">
        <v>20</v>
      </c>
      <c r="B21" s="5" t="s">
        <v>33</v>
      </c>
      <c r="C21" s="6">
        <v>123456010156020</v>
      </c>
      <c r="D21" s="7" t="s">
        <v>35</v>
      </c>
      <c r="E21" s="7" t="s">
        <v>43</v>
      </c>
      <c r="F21" s="7" t="s">
        <v>10</v>
      </c>
      <c r="G21" s="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3" sqref="A3:C7"/>
    </sheetView>
  </sheetViews>
  <sheetFormatPr defaultRowHeight="15.75" x14ac:dyDescent="0.25"/>
  <cols>
    <col min="1" max="1" width="3.375" style="1" bestFit="1" customWidth="1"/>
    <col min="2" max="2" width="20" style="1" bestFit="1" customWidth="1"/>
    <col min="3" max="3" width="6" style="1" bestFit="1" customWidth="1"/>
    <col min="4" max="16384" width="9" style="1"/>
  </cols>
  <sheetData>
    <row r="1" spans="1:4" x14ac:dyDescent="0.25">
      <c r="A1" s="13" t="s">
        <v>62</v>
      </c>
      <c r="B1" s="13"/>
      <c r="C1" s="13"/>
      <c r="D1" s="13"/>
    </row>
    <row r="3" spans="1:4" x14ac:dyDescent="0.25">
      <c r="A3" s="3" t="s">
        <v>40</v>
      </c>
      <c r="B3" s="9" t="s">
        <v>49</v>
      </c>
      <c r="C3" s="3" t="s">
        <v>37</v>
      </c>
    </row>
    <row r="4" spans="1:4" x14ac:dyDescent="0.25">
      <c r="A4" s="3">
        <v>1</v>
      </c>
      <c r="B4" s="7" t="s">
        <v>50</v>
      </c>
      <c r="C4" s="8">
        <f>COUNTA('data pemilih fix'!A2:A21)</f>
        <v>20</v>
      </c>
    </row>
    <row r="5" spans="1:4" x14ac:dyDescent="0.25">
      <c r="A5" s="3">
        <v>2</v>
      </c>
      <c r="B5" s="7" t="s">
        <v>51</v>
      </c>
      <c r="C5" s="8">
        <f>COUNTIF('data pemilih fix'!$E$1:$E$21,"Aktif")</f>
        <v>16</v>
      </c>
    </row>
    <row r="6" spans="1:4" x14ac:dyDescent="0.25">
      <c r="A6" s="3">
        <v>3</v>
      </c>
      <c r="B6" s="7" t="s">
        <v>52</v>
      </c>
      <c r="C6" s="8">
        <f>COUNTIF('data pemilih fix'!$E$1:$E$21,"Tidak Aktif")</f>
        <v>4</v>
      </c>
    </row>
    <row r="7" spans="1:4" x14ac:dyDescent="0.25">
      <c r="A7" s="11" t="s">
        <v>61</v>
      </c>
      <c r="B7" s="12"/>
      <c r="C7" s="7">
        <f>C4</f>
        <v>20</v>
      </c>
    </row>
  </sheetData>
  <mergeCells count="2">
    <mergeCell ref="A7:B7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3" sqref="A3:C7"/>
    </sheetView>
  </sheetViews>
  <sheetFormatPr defaultRowHeight="15.75" x14ac:dyDescent="0.25"/>
  <cols>
    <col min="1" max="1" width="3.375" style="1" bestFit="1" customWidth="1"/>
    <col min="2" max="2" width="25.375" style="1" bestFit="1" customWidth="1"/>
    <col min="3" max="3" width="6" style="1" bestFit="1" customWidth="1"/>
    <col min="4" max="16384" width="9" style="1"/>
  </cols>
  <sheetData>
    <row r="1" spans="1:3" x14ac:dyDescent="0.25">
      <c r="A1" s="13" t="s">
        <v>63</v>
      </c>
      <c r="B1" s="14"/>
      <c r="C1" s="14"/>
    </row>
    <row r="3" spans="1:3" x14ac:dyDescent="0.25">
      <c r="A3" s="3" t="s">
        <v>40</v>
      </c>
      <c r="B3" s="7" t="s">
        <v>53</v>
      </c>
      <c r="C3" s="7" t="s">
        <v>37</v>
      </c>
    </row>
    <row r="4" spans="1:3" x14ac:dyDescent="0.25">
      <c r="A4" s="3">
        <v>1</v>
      </c>
      <c r="B4" s="7" t="s">
        <v>54</v>
      </c>
      <c r="C4" s="7">
        <f>COUNTA('data pemilih fix'!A2:A21)</f>
        <v>20</v>
      </c>
    </row>
    <row r="5" spans="1:3" x14ac:dyDescent="0.25">
      <c r="A5" s="3">
        <v>2</v>
      </c>
      <c r="B5" s="7" t="s">
        <v>55</v>
      </c>
      <c r="C5" s="7">
        <f>COUNTIF('data pemilih fix'!E1:E21,"Aktif")</f>
        <v>16</v>
      </c>
    </row>
    <row r="6" spans="1:3" x14ac:dyDescent="0.25">
      <c r="A6" s="3">
        <v>3</v>
      </c>
      <c r="B6" s="7" t="s">
        <v>56</v>
      </c>
      <c r="C6" s="7">
        <v>1</v>
      </c>
    </row>
    <row r="7" spans="1:3" x14ac:dyDescent="0.25">
      <c r="A7" s="3">
        <v>4</v>
      </c>
      <c r="B7" s="7" t="s">
        <v>57</v>
      </c>
      <c r="C7" s="7">
        <f>C4-C5-C6</f>
        <v>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1" sqref="A11:C14"/>
    </sheetView>
  </sheetViews>
  <sheetFormatPr defaultRowHeight="15.75" x14ac:dyDescent="0.25"/>
  <cols>
    <col min="1" max="1" width="3.125" style="1" bestFit="1" customWidth="1"/>
    <col min="2" max="2" width="18" style="1" bestFit="1" customWidth="1"/>
    <col min="3" max="3" width="13.375" style="1" bestFit="1" customWidth="1"/>
    <col min="4" max="16384" width="9" style="1"/>
  </cols>
  <sheetData>
    <row r="1" spans="1:3" x14ac:dyDescent="0.25">
      <c r="A1" s="13" t="s">
        <v>64</v>
      </c>
      <c r="B1" s="13"/>
      <c r="C1" s="13"/>
    </row>
    <row r="3" spans="1:3" x14ac:dyDescent="0.25">
      <c r="A3" s="7" t="s">
        <v>40</v>
      </c>
      <c r="B3" s="7" t="s">
        <v>38</v>
      </c>
      <c r="C3" s="7" t="s">
        <v>39</v>
      </c>
    </row>
    <row r="4" spans="1:3" x14ac:dyDescent="0.25">
      <c r="A4" s="7">
        <v>1</v>
      </c>
      <c r="B4" s="7" t="s">
        <v>5</v>
      </c>
      <c r="C4" s="7">
        <f>COUNTIF('data pemilih fix'!F1:F21,"Ahmad Prasetyo")</f>
        <v>6</v>
      </c>
    </row>
    <row r="5" spans="1:3" x14ac:dyDescent="0.25">
      <c r="A5" s="7">
        <v>2</v>
      </c>
      <c r="B5" s="7" t="s">
        <v>7</v>
      </c>
      <c r="C5" s="7">
        <f>COUNTIF('data pemilih fix'!F2:F22,"Slamet Riyadi")</f>
        <v>5</v>
      </c>
    </row>
    <row r="6" spans="1:3" x14ac:dyDescent="0.25">
      <c r="A6" s="7">
        <v>3</v>
      </c>
      <c r="B6" s="7" t="s">
        <v>10</v>
      </c>
      <c r="C6" s="7">
        <f>COUNTIF('data pemilih fix'!F3:F23,"Agus Setiawan")</f>
        <v>5</v>
      </c>
    </row>
    <row r="9" spans="1:3" x14ac:dyDescent="0.25">
      <c r="A9" s="13" t="s">
        <v>65</v>
      </c>
      <c r="B9" s="13"/>
      <c r="C9" s="13"/>
    </row>
    <row r="11" spans="1:3" x14ac:dyDescent="0.25">
      <c r="A11" s="7" t="s">
        <v>40</v>
      </c>
      <c r="B11" s="7" t="s">
        <v>49</v>
      </c>
      <c r="C11" s="7" t="s">
        <v>37</v>
      </c>
    </row>
    <row r="12" spans="1:3" x14ac:dyDescent="0.25">
      <c r="A12" s="7">
        <v>1</v>
      </c>
      <c r="B12" s="7" t="s">
        <v>58</v>
      </c>
      <c r="C12" s="7">
        <f>SUM(C4:C6)</f>
        <v>16</v>
      </c>
    </row>
    <row r="13" spans="1:3" x14ac:dyDescent="0.25">
      <c r="A13" s="7">
        <v>2</v>
      </c>
      <c r="B13" s="7" t="s">
        <v>59</v>
      </c>
      <c r="C13" s="7">
        <v>1</v>
      </c>
    </row>
    <row r="14" spans="1:3" x14ac:dyDescent="0.25">
      <c r="A14" s="7">
        <v>3</v>
      </c>
      <c r="B14" s="7" t="s">
        <v>60</v>
      </c>
      <c r="C14" s="7">
        <f>SUM(C12:C13)</f>
        <v>17</v>
      </c>
    </row>
  </sheetData>
  <mergeCells count="2">
    <mergeCell ref="A1:C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pemilih fix</vt:lpstr>
      <vt:lpstr>rekap data pemilih fix</vt:lpstr>
      <vt:lpstr>rekap surat suara fix</vt:lpstr>
      <vt:lpstr>rekap perolehan suara fix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2026-01-29T10:31:53Z</dcterms:created>
  <dcterms:modified xsi:type="dcterms:W3CDTF">2026-01-30T10:47:00Z</dcterms:modified>
</cp:coreProperties>
</file>